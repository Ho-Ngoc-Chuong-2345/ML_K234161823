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PycharmProjects\ML_K23416\K234161823_HoNgocChuong_22102025\"/>
    </mc:Choice>
  </mc:AlternateContent>
  <xr:revisionPtr revIDLastSave="0" documentId="13_ncr:1_{8FF1F9B4-7C3D-4E32-BA39-A142170487C1}" xr6:coauthVersionLast="47" xr6:coauthVersionMax="47" xr10:uidLastSave="{00000000-0000-0000-0000-000000000000}"/>
  <bookViews>
    <workbookView xWindow="-110" yWindow="-110" windowWidth="19420" windowHeight="10300" xr2:uid="{09BD744E-C5AD-4E92-83B5-6C811B020A96}"/>
  </bookViews>
  <sheets>
    <sheet name="Bonus_1" sheetId="8" r:id="rId1"/>
    <sheet name="VD1" sheetId="2" r:id="rId2"/>
    <sheet name="VD2" sheetId="3" r:id="rId3"/>
    <sheet name="VD3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3" i="8" l="1"/>
  <c r="P22" i="8"/>
  <c r="L13" i="8" a="1"/>
  <c r="L13" i="8" s="1"/>
  <c r="I13" i="8" a="1"/>
  <c r="I14" i="8" s="1"/>
  <c r="I7" i="8" a="1"/>
  <c r="J7" i="8" s="1"/>
  <c r="I1" i="8" a="1"/>
  <c r="I1" i="8" s="1"/>
  <c r="P2" i="6"/>
  <c r="Q2" i="6"/>
  <c r="Q13" i="6"/>
  <c r="Q14" i="6" s="1"/>
  <c r="Q3" i="6"/>
  <c r="Q4" i="6"/>
  <c r="Q5" i="6"/>
  <c r="Q6" i="6"/>
  <c r="Q7" i="6"/>
  <c r="Q8" i="6"/>
  <c r="Q9" i="6"/>
  <c r="Q10" i="6"/>
  <c r="Q11" i="6"/>
  <c r="Q12" i="6"/>
  <c r="P12" i="6"/>
  <c r="P3" i="6"/>
  <c r="P4" i="6"/>
  <c r="P5" i="6"/>
  <c r="P6" i="6"/>
  <c r="P7" i="6"/>
  <c r="P8" i="6"/>
  <c r="P9" i="6"/>
  <c r="P10" i="6"/>
  <c r="P11" i="6"/>
  <c r="N9" i="6" a="1"/>
  <c r="N9" i="6" s="1"/>
  <c r="K9" i="6" a="1"/>
  <c r="K10" i="6" s="1"/>
  <c r="K1" i="6" a="1"/>
  <c r="M1" i="6" s="1"/>
  <c r="C12" i="3"/>
  <c r="C13" i="3"/>
  <c r="C14" i="3"/>
  <c r="C11" i="3"/>
  <c r="C10" i="3"/>
  <c r="C9" i="3"/>
  <c r="C8" i="3"/>
  <c r="C7" i="3"/>
  <c r="C6" i="3"/>
  <c r="C5" i="3"/>
  <c r="C4" i="3"/>
  <c r="C3" i="3"/>
  <c r="C2" i="3"/>
  <c r="E5" i="3"/>
  <c r="E4" i="3"/>
  <c r="E3" i="3"/>
  <c r="E2" i="3"/>
  <c r="E1" i="3"/>
  <c r="C4" i="2"/>
  <c r="C2" i="2"/>
  <c r="E7" i="2"/>
  <c r="E2" i="2"/>
  <c r="E5" i="2"/>
  <c r="E3" i="2"/>
  <c r="E4" i="2"/>
  <c r="E1" i="2"/>
  <c r="O18" i="8" l="1"/>
  <c r="P18" i="8" s="1"/>
  <c r="O4" i="8"/>
  <c r="P4" i="8" s="1"/>
  <c r="O9" i="8"/>
  <c r="P9" i="8" s="1"/>
  <c r="O19" i="8"/>
  <c r="P19" i="8" s="1"/>
  <c r="O15" i="8"/>
  <c r="P15" i="8" s="1"/>
  <c r="O8" i="8"/>
  <c r="P8" i="8" s="1"/>
  <c r="L17" i="8"/>
  <c r="L16" i="8"/>
  <c r="L15" i="8"/>
  <c r="L14" i="8"/>
  <c r="O12" i="8" s="1"/>
  <c r="P12" i="8" s="1"/>
  <c r="I13" i="8"/>
  <c r="I17" i="8"/>
  <c r="I16" i="8"/>
  <c r="I15" i="8"/>
  <c r="K11" i="8"/>
  <c r="J8" i="8"/>
  <c r="J11" i="8"/>
  <c r="L9" i="8"/>
  <c r="I8" i="8"/>
  <c r="J10" i="8"/>
  <c r="I7" i="8"/>
  <c r="L11" i="8"/>
  <c r="I10" i="8"/>
  <c r="K8" i="8"/>
  <c r="M9" i="8"/>
  <c r="I11" i="8"/>
  <c r="K9" i="8"/>
  <c r="M7" i="8"/>
  <c r="M11" i="8"/>
  <c r="L8" i="8"/>
  <c r="M10" i="8"/>
  <c r="J9" i="8"/>
  <c r="L7" i="8"/>
  <c r="L10" i="8"/>
  <c r="I9" i="8"/>
  <c r="K7" i="8"/>
  <c r="K10" i="8"/>
  <c r="M8" i="8"/>
  <c r="M2" i="8"/>
  <c r="M5" i="8"/>
  <c r="I4" i="8"/>
  <c r="J2" i="8"/>
  <c r="J5" i="8"/>
  <c r="L3" i="8"/>
  <c r="I2" i="8"/>
  <c r="K4" i="8"/>
  <c r="L2" i="8"/>
  <c r="M3" i="8"/>
  <c r="I5" i="8"/>
  <c r="K3" i="8"/>
  <c r="M1" i="8"/>
  <c r="J1" i="8"/>
  <c r="K2" i="8"/>
  <c r="M4" i="8"/>
  <c r="J3" i="8"/>
  <c r="L1" i="8"/>
  <c r="J4" i="8"/>
  <c r="L5" i="8"/>
  <c r="K5" i="8"/>
  <c r="L4" i="8"/>
  <c r="I3" i="8"/>
  <c r="K1" i="8"/>
  <c r="N11" i="6"/>
  <c r="N10" i="6"/>
  <c r="K9" i="6"/>
  <c r="K11" i="6"/>
  <c r="L2" i="6"/>
  <c r="K2" i="6"/>
  <c r="M2" i="6"/>
  <c r="K3" i="6"/>
  <c r="L3" i="6"/>
  <c r="K1" i="6"/>
  <c r="K5" i="6" s="1" a="1"/>
  <c r="M3" i="6"/>
  <c r="L1" i="6"/>
  <c r="E6" i="3"/>
  <c r="E7" i="3" s="1"/>
  <c r="E6" i="2"/>
  <c r="O7" i="8" l="1"/>
  <c r="P7" i="8" s="1"/>
  <c r="O21" i="8"/>
  <c r="P21" i="8" s="1"/>
  <c r="O10" i="8"/>
  <c r="P10" i="8" s="1"/>
  <c r="O13" i="8"/>
  <c r="P13" i="8" s="1"/>
  <c r="O16" i="8"/>
  <c r="P16" i="8" s="1"/>
  <c r="O5" i="8"/>
  <c r="P5" i="8" s="1"/>
  <c r="O2" i="8"/>
  <c r="P2" i="8" s="1"/>
  <c r="O3" i="8"/>
  <c r="P3" i="8" s="1"/>
  <c r="O11" i="8"/>
  <c r="P11" i="8" s="1"/>
  <c r="O14" i="8"/>
  <c r="P14" i="8" s="1"/>
  <c r="O20" i="8"/>
  <c r="P20" i="8" s="1"/>
  <c r="O17" i="8"/>
  <c r="P17" i="8" s="1"/>
  <c r="O6" i="8"/>
  <c r="P6" i="8" s="1"/>
  <c r="M7" i="6"/>
  <c r="K5" i="6"/>
  <c r="L7" i="6"/>
  <c r="K7" i="6"/>
  <c r="M6" i="6"/>
  <c r="L6" i="6"/>
  <c r="K6" i="6"/>
  <c r="M5" i="6"/>
  <c r="L5" i="6"/>
  <c r="C3" i="2"/>
  <c r="C5" i="2"/>
  <c r="C6" i="2"/>
  <c r="C7" i="2"/>
  <c r="C8" i="2"/>
  <c r="C11" i="2"/>
  <c r="C9" i="2"/>
  <c r="C10" i="2"/>
</calcChain>
</file>

<file path=xl/sharedStrings.xml><?xml version="1.0" encoding="utf-8"?>
<sst xmlns="http://schemas.openxmlformats.org/spreadsheetml/2006/main" count="49" uniqueCount="36">
  <si>
    <t>x</t>
  </si>
  <si>
    <t>y</t>
  </si>
  <si>
    <t>Độ lệch chuẩn x= STDEVA(A2:A11)=</t>
  </si>
  <si>
    <t>Độ lệch chuẩn y= STDEVA(B2:A11)=</t>
  </si>
  <si>
    <t>Trung bình x</t>
  </si>
  <si>
    <t>Trung bình y</t>
  </si>
  <si>
    <t>Tương quan x và y</t>
  </si>
  <si>
    <t>B1</t>
  </si>
  <si>
    <t>B0</t>
  </si>
  <si>
    <t>Y-predicted</t>
  </si>
  <si>
    <t>X</t>
  </si>
  <si>
    <t>Y</t>
  </si>
  <si>
    <t>Y-preditcted</t>
  </si>
  <si>
    <t>x0</t>
  </si>
  <si>
    <t>Color</t>
  </si>
  <si>
    <t>Quality</t>
  </si>
  <si>
    <t>Price</t>
  </si>
  <si>
    <t>(X'X)</t>
  </si>
  <si>
    <t>(X'X)_inv =</t>
  </si>
  <si>
    <t>(X'Y)</t>
  </si>
  <si>
    <t>B_hat</t>
  </si>
  <si>
    <t>Predicted Price</t>
  </si>
  <si>
    <t>Squared Error</t>
  </si>
  <si>
    <t>x1</t>
  </si>
  <si>
    <t>x2</t>
  </si>
  <si>
    <t>x3</t>
  </si>
  <si>
    <t>x4</t>
  </si>
  <si>
    <t>MSE</t>
  </si>
  <si>
    <t>RMSE</t>
  </si>
  <si>
    <t>B_hat =</t>
  </si>
  <si>
    <t>X'X=</t>
  </si>
  <si>
    <t>X'Y =</t>
  </si>
  <si>
    <t>X'X_inv =</t>
  </si>
  <si>
    <t>Predicted_y</t>
  </si>
  <si>
    <t>MSE=</t>
  </si>
  <si>
    <t>RMSE-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</si>
</sst>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5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 readingOrder="1"/>
    </xf>
    <xf numFmtId="0" fontId="8" fillId="2" borderId="3" xfId="0" applyFont="1" applyFill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Trend prediction và actually value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Bonus_1!$F$1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Bonus_1!$F$2:$F$23</c:f>
              <c:numCache>
                <c:formatCode>General</c:formatCode>
                <c:ptCount val="22"/>
                <c:pt idx="0">
                  <c:v>0.04</c:v>
                </c:pt>
                <c:pt idx="1">
                  <c:v>2.0699999999999998</c:v>
                </c:pt>
                <c:pt idx="2">
                  <c:v>4.18</c:v>
                </c:pt>
                <c:pt idx="3">
                  <c:v>4.63</c:v>
                </c:pt>
                <c:pt idx="4">
                  <c:v>6.57</c:v>
                </c:pt>
                <c:pt idx="5">
                  <c:v>6.91</c:v>
                </c:pt>
                <c:pt idx="6">
                  <c:v>9.23</c:v>
                </c:pt>
                <c:pt idx="7">
                  <c:v>11.4</c:v>
                </c:pt>
                <c:pt idx="8">
                  <c:v>12.04</c:v>
                </c:pt>
                <c:pt idx="9">
                  <c:v>16.75</c:v>
                </c:pt>
                <c:pt idx="10">
                  <c:v>24.55</c:v>
                </c:pt>
                <c:pt idx="11">
                  <c:v>27.64</c:v>
                </c:pt>
                <c:pt idx="12">
                  <c:v>29.64</c:v>
                </c:pt>
                <c:pt idx="13">
                  <c:v>32.9</c:v>
                </c:pt>
                <c:pt idx="14">
                  <c:v>33.520000000000003</c:v>
                </c:pt>
                <c:pt idx="15">
                  <c:v>33.75</c:v>
                </c:pt>
                <c:pt idx="16">
                  <c:v>42.89</c:v>
                </c:pt>
                <c:pt idx="17">
                  <c:v>48.87</c:v>
                </c:pt>
                <c:pt idx="18">
                  <c:v>58.45</c:v>
                </c:pt>
                <c:pt idx="19">
                  <c:v>61.69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78-4410-A5C2-5CF0A295DC27}"/>
            </c:ext>
          </c:extLst>
        </c:ser>
        <c:ser>
          <c:idx val="1"/>
          <c:order val="1"/>
          <c:tx>
            <c:strRef>
              <c:f>Bonus_1!$O$1</c:f>
              <c:strCache>
                <c:ptCount val="1"/>
                <c:pt idx="0">
                  <c:v>Predicted_y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Bonus_1!$O$2:$O$23</c:f>
              <c:numCache>
                <c:formatCode>General</c:formatCode>
                <c:ptCount val="22"/>
                <c:pt idx="0">
                  <c:v>185603107444165.13</c:v>
                </c:pt>
                <c:pt idx="1">
                  <c:v>87734749349665</c:v>
                </c:pt>
                <c:pt idx="2">
                  <c:v>19892942853119.813</c:v>
                </c:pt>
                <c:pt idx="3">
                  <c:v>50778100089222.922</c:v>
                </c:pt>
                <c:pt idx="4">
                  <c:v>176708392747272.56</c:v>
                </c:pt>
                <c:pt idx="5">
                  <c:v>36877889630920.563</c:v>
                </c:pt>
                <c:pt idx="6">
                  <c:v>174223893767967.75</c:v>
                </c:pt>
                <c:pt idx="7">
                  <c:v>87368674984692.328</c:v>
                </c:pt>
                <c:pt idx="8">
                  <c:v>55668374603398.734</c:v>
                </c:pt>
                <c:pt idx="9">
                  <c:v>75680948221590.391</c:v>
                </c:pt>
                <c:pt idx="10">
                  <c:v>84115519710417.219</c:v>
                </c:pt>
                <c:pt idx="11">
                  <c:v>117929221632004.14</c:v>
                </c:pt>
                <c:pt idx="12">
                  <c:v>60430024205483.813</c:v>
                </c:pt>
                <c:pt idx="13">
                  <c:v>45883965754980.047</c:v>
                </c:pt>
                <c:pt idx="14">
                  <c:v>97404062976399.313</c:v>
                </c:pt>
                <c:pt idx="15">
                  <c:v>231260318202225.34</c:v>
                </c:pt>
                <c:pt idx="16">
                  <c:v>143223679813055.13</c:v>
                </c:pt>
                <c:pt idx="17">
                  <c:v>95466512558120.047</c:v>
                </c:pt>
                <c:pt idx="18">
                  <c:v>117390789688.71461</c:v>
                </c:pt>
                <c:pt idx="19">
                  <c:v>117390789688.71461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78-4410-A5C2-5CF0A295D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319856"/>
        <c:axId val="503316976"/>
      </c:lineChart>
      <c:catAx>
        <c:axId val="50331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316976"/>
        <c:crosses val="autoZero"/>
        <c:auto val="1"/>
        <c:lblAlgn val="ctr"/>
        <c:lblOffset val="100"/>
        <c:noMultiLvlLbl val="0"/>
      </c:catAx>
      <c:valAx>
        <c:axId val="50331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31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Simple Linear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'VD1'!$B$1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'VD1'!$B$2:$B$11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13</c:v>
                </c:pt>
                <c:pt idx="7">
                  <c:v>15</c:v>
                </c:pt>
                <c:pt idx="8">
                  <c:v>18</c:v>
                </c:pt>
                <c:pt idx="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B3-44CD-9A8A-6585A9BA7DF7}"/>
            </c:ext>
          </c:extLst>
        </c:ser>
        <c:ser>
          <c:idx val="1"/>
          <c:order val="1"/>
          <c:tx>
            <c:strRef>
              <c:f>'VD1'!$C$1</c:f>
              <c:strCache>
                <c:ptCount val="1"/>
                <c:pt idx="0">
                  <c:v>Y-predicted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'VD1'!$C$2:$C$11</c:f>
              <c:numCache>
                <c:formatCode>General</c:formatCode>
                <c:ptCount val="10"/>
                <c:pt idx="0">
                  <c:v>0.81818181818181879</c:v>
                </c:pt>
                <c:pt idx="1">
                  <c:v>2.9030303030303033</c:v>
                </c:pt>
                <c:pt idx="2">
                  <c:v>4.9878787878787882</c:v>
                </c:pt>
                <c:pt idx="3">
                  <c:v>7.0727272727272723</c:v>
                </c:pt>
                <c:pt idx="4">
                  <c:v>9.1575757575757564</c:v>
                </c:pt>
                <c:pt idx="5">
                  <c:v>11.242424242424242</c:v>
                </c:pt>
                <c:pt idx="6">
                  <c:v>13.327272727272726</c:v>
                </c:pt>
                <c:pt idx="7">
                  <c:v>15.41212121212121</c:v>
                </c:pt>
                <c:pt idx="8">
                  <c:v>17.496969696969696</c:v>
                </c:pt>
                <c:pt idx="9">
                  <c:v>19.581818181818178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B3-44CD-9A8A-6585A9BA7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7495576"/>
        <c:axId val="517500256"/>
      </c:lineChart>
      <c:catAx>
        <c:axId val="517495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500256"/>
        <c:crosses val="autoZero"/>
        <c:auto val="1"/>
        <c:lblAlgn val="ctr"/>
        <c:lblOffset val="100"/>
        <c:noMultiLvlLbl val="0"/>
      </c:catAx>
      <c:valAx>
        <c:axId val="51750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495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Simple</a:t>
            </a:r>
            <a:r>
              <a:rPr lang="en-US" baseline="0"/>
              <a:t> Linear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'VD2'!$B$2:$B$14</c:f>
              <c:numCache>
                <c:formatCode>General</c:formatCode>
                <c:ptCount val="13"/>
                <c:pt idx="0">
                  <c:v>1.49</c:v>
                </c:pt>
                <c:pt idx="1">
                  <c:v>1.5</c:v>
                </c:pt>
                <c:pt idx="2">
                  <c:v>1.51</c:v>
                </c:pt>
                <c:pt idx="3">
                  <c:v>1.54</c:v>
                </c:pt>
                <c:pt idx="4">
                  <c:v>1.58</c:v>
                </c:pt>
                <c:pt idx="5">
                  <c:v>1.59</c:v>
                </c:pt>
                <c:pt idx="6">
                  <c:v>1.6</c:v>
                </c:pt>
                <c:pt idx="7">
                  <c:v>1.62</c:v>
                </c:pt>
                <c:pt idx="8">
                  <c:v>1.63</c:v>
                </c:pt>
                <c:pt idx="9">
                  <c:v>1.64</c:v>
                </c:pt>
                <c:pt idx="10">
                  <c:v>1.66</c:v>
                </c:pt>
                <c:pt idx="11">
                  <c:v>1.67</c:v>
                </c:pt>
                <c:pt idx="12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56-48E6-BCBD-68949CC93DC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'VD2'!$C$2:$C$14</c:f>
              <c:numCache>
                <c:formatCode>General</c:formatCode>
                <c:ptCount val="13"/>
                <c:pt idx="0">
                  <c:v>1.4846771919932338</c:v>
                </c:pt>
                <c:pt idx="1">
                  <c:v>1.5014533408514237</c:v>
                </c:pt>
                <c:pt idx="2">
                  <c:v>1.5182294897096138</c:v>
                </c:pt>
                <c:pt idx="3">
                  <c:v>1.5461897378065972</c:v>
                </c:pt>
                <c:pt idx="4">
                  <c:v>1.5741499859035804</c:v>
                </c:pt>
                <c:pt idx="5">
                  <c:v>1.5853340851423738</c:v>
                </c:pt>
                <c:pt idx="6">
                  <c:v>1.602110234000564</c:v>
                </c:pt>
                <c:pt idx="7">
                  <c:v>1.6132943332393572</c:v>
                </c:pt>
                <c:pt idx="8">
                  <c:v>1.6300704820975471</c:v>
                </c:pt>
                <c:pt idx="9">
                  <c:v>1.6412545813363404</c:v>
                </c:pt>
                <c:pt idx="10">
                  <c:v>1.6580307301945305</c:v>
                </c:pt>
                <c:pt idx="11">
                  <c:v>1.669214829433324</c:v>
                </c:pt>
                <c:pt idx="12">
                  <c:v>1.6859909782915139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56-48E6-BCBD-68949CC93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014216"/>
        <c:axId val="107013856"/>
      </c:lineChart>
      <c:catAx>
        <c:axId val="1070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13856"/>
        <c:crosses val="autoZero"/>
        <c:auto val="1"/>
        <c:lblAlgn val="ctr"/>
        <c:lblOffset val="100"/>
        <c:noMultiLvlLbl val="0"/>
      </c:catAx>
      <c:valAx>
        <c:axId val="10701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1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170794</xdr:colOff>
      <xdr:row>0</xdr:row>
      <xdr:rowOff>0</xdr:rowOff>
    </xdr:from>
    <xdr:to>
      <xdr:col>24</xdr:col>
      <xdr:colOff>469823</xdr:colOff>
      <xdr:row>13</xdr:row>
      <xdr:rowOff>179620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E1BC2D-9058-AB38-080A-43EB72259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187325</xdr:colOff>
      <xdr:row>0</xdr:row>
      <xdr:rowOff>25400</xdr:rowOff>
    </xdr:from>
    <xdr:to>
      <xdr:col>13</xdr:col>
      <xdr:colOff>0</xdr:colOff>
      <xdr:row>16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10BF03-F809-DACD-7778-CFC22B5B5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0</xdr:row>
      <xdr:rowOff>120650</xdr:rowOff>
    </xdr:from>
    <xdr:to>
      <xdr:col>13</xdr:col>
      <xdr:colOff>304800</xdr:colOff>
      <xdr:row>17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2B201B-05A4-BAFA-15C8-E15118F50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C2873-4C7C-4250-8D71-40718BD6D932}">
  <dimension ref="A1:P23"/>
  <sheetViews>
    <sheetView tabSelected="1" zoomScale="65" zoomScaleNormal="87" workbookViewId="0">
      <selection activeCell="M19" sqref="M19"/>
    </sheetView>
  </sheetViews>
  <sheetFormatPr defaultColWidth="13.81640625" defaultRowHeight="16.5" x14ac:dyDescent="0.35"/>
  <cols>
    <col min="1" max="14" width="13.81640625" style="17"/>
    <col min="15" max="15" width="17.453125" style="17" customWidth="1"/>
    <col min="16" max="16" width="14.26953125" style="17" customWidth="1"/>
    <col min="17" max="16384" width="13.81640625" style="17"/>
  </cols>
  <sheetData>
    <row r="1" spans="1:16" x14ac:dyDescent="0.35">
      <c r="A1" s="14" t="s">
        <v>13</v>
      </c>
      <c r="B1" s="15" t="s">
        <v>23</v>
      </c>
      <c r="C1" s="16" t="s">
        <v>24</v>
      </c>
      <c r="D1" s="16" t="s">
        <v>25</v>
      </c>
      <c r="E1" s="16" t="s">
        <v>26</v>
      </c>
      <c r="F1" s="16" t="s">
        <v>1</v>
      </c>
      <c r="H1" s="18" t="s">
        <v>30</v>
      </c>
      <c r="I1" s="14">
        <f t="array" ref="I1:M5">MMULT(TRANSPOSE(A2:F21),A2:F21)</f>
        <v>20</v>
      </c>
      <c r="J1" s="14">
        <v>50.839999999999996</v>
      </c>
      <c r="K1" s="14">
        <v>435.64000000000004</v>
      </c>
      <c r="L1" s="14">
        <v>11.029999999999998</v>
      </c>
      <c r="M1" s="14">
        <v>282</v>
      </c>
      <c r="O1" s="14" t="s">
        <v>33</v>
      </c>
      <c r="P1" s="14" t="s">
        <v>22</v>
      </c>
    </row>
    <row r="2" spans="1:16" x14ac:dyDescent="0.35">
      <c r="A2" s="14">
        <v>1</v>
      </c>
      <c r="B2" s="15">
        <v>2.93</v>
      </c>
      <c r="C2" s="16">
        <v>11.21</v>
      </c>
      <c r="D2" s="16">
        <v>0.53</v>
      </c>
      <c r="E2" s="16">
        <v>1</v>
      </c>
      <c r="F2" s="16">
        <v>0.04</v>
      </c>
      <c r="I2" s="14">
        <v>50.839999999999996</v>
      </c>
      <c r="J2" s="14">
        <v>228.66939999999994</v>
      </c>
      <c r="K2" s="14">
        <v>991.42409999999995</v>
      </c>
      <c r="L2" s="14">
        <v>26.494300000000003</v>
      </c>
      <c r="M2" s="14">
        <v>653.90499999999997</v>
      </c>
      <c r="O2" s="14">
        <f>$L$13 + $L$14*B4 + $L$15*C4 + $L$16*D4 + $L$17*E4</f>
        <v>185603107444165.13</v>
      </c>
      <c r="P2" s="14">
        <f>POWER(F2-O2,2)</f>
        <v>3.4448513492930294E+28</v>
      </c>
    </row>
    <row r="3" spans="1:16" x14ac:dyDescent="0.35">
      <c r="A3" s="14">
        <v>1</v>
      </c>
      <c r="B3" s="15">
        <v>0.13</v>
      </c>
      <c r="C3" s="16">
        <v>63.46</v>
      </c>
      <c r="D3" s="16">
        <v>0.18</v>
      </c>
      <c r="E3" s="16">
        <v>2</v>
      </c>
      <c r="F3" s="16">
        <v>2.0699999999999998</v>
      </c>
      <c r="I3" s="14">
        <v>435.64000000000004</v>
      </c>
      <c r="J3" s="14">
        <v>991.42409999999995</v>
      </c>
      <c r="K3" s="14">
        <v>15643.789200000005</v>
      </c>
      <c r="L3" s="14">
        <v>222.99349999999998</v>
      </c>
      <c r="M3" s="14">
        <v>5454.42</v>
      </c>
      <c r="O3" s="14">
        <f t="shared" ref="O3:O21" si="0">$L$13 + $L$14*B5 + $L$15*C5 + $L$16*D5 + $L$17*E5</f>
        <v>87734749349665</v>
      </c>
      <c r="P3" s="14">
        <f t="shared" ref="P3:P21" si="1">POWER(F3-O3,2)</f>
        <v>7.6973862434481812E+27</v>
      </c>
    </row>
    <row r="4" spans="1:16" x14ac:dyDescent="0.35">
      <c r="A4" s="14">
        <v>1</v>
      </c>
      <c r="B4" s="15">
        <v>1</v>
      </c>
      <c r="C4" s="16">
        <v>48.25</v>
      </c>
      <c r="D4" s="16">
        <v>0.35</v>
      </c>
      <c r="E4" s="16">
        <v>4</v>
      </c>
      <c r="F4" s="16">
        <v>4.18</v>
      </c>
      <c r="I4" s="14">
        <v>11.029999999999998</v>
      </c>
      <c r="J4" s="14">
        <v>26.494300000000003</v>
      </c>
      <c r="K4" s="14">
        <v>222.99349999999998</v>
      </c>
      <c r="L4" s="14">
        <v>7.5642999999999985</v>
      </c>
      <c r="M4" s="14">
        <v>172.33999999999997</v>
      </c>
      <c r="O4" s="14">
        <f t="shared" si="0"/>
        <v>19892942853119.813</v>
      </c>
      <c r="P4" s="14">
        <f t="shared" si="1"/>
        <v>3.9572917535732431E+26</v>
      </c>
    </row>
    <row r="5" spans="1:16" x14ac:dyDescent="0.35">
      <c r="A5" s="14">
        <v>1</v>
      </c>
      <c r="B5" s="15">
        <v>3.93</v>
      </c>
      <c r="C5" s="16">
        <v>21.56</v>
      </c>
      <c r="D5" s="16">
        <v>0.43</v>
      </c>
      <c r="E5" s="16">
        <v>4</v>
      </c>
      <c r="F5" s="16">
        <v>4.63</v>
      </c>
      <c r="I5" s="14">
        <v>282</v>
      </c>
      <c r="J5" s="14">
        <v>653.90499999999997</v>
      </c>
      <c r="K5" s="14">
        <v>5454.42</v>
      </c>
      <c r="L5" s="14">
        <v>172.33999999999997</v>
      </c>
      <c r="M5" s="14">
        <v>5725.5</v>
      </c>
      <c r="O5" s="14">
        <f t="shared" si="0"/>
        <v>50778100089222.922</v>
      </c>
      <c r="P5" s="14">
        <f t="shared" si="1"/>
        <v>2.5784154486706706E+27</v>
      </c>
    </row>
    <row r="6" spans="1:16" x14ac:dyDescent="0.35">
      <c r="A6" s="14">
        <v>1</v>
      </c>
      <c r="B6" s="15">
        <v>0.45</v>
      </c>
      <c r="C6" s="16">
        <v>3</v>
      </c>
      <c r="D6" s="16">
        <v>0.48</v>
      </c>
      <c r="E6" s="16">
        <v>5</v>
      </c>
      <c r="F6" s="16">
        <v>6.57</v>
      </c>
      <c r="O6" s="14">
        <f t="shared" si="0"/>
        <v>176708392747272.56</v>
      </c>
      <c r="P6" s="14">
        <f t="shared" si="1"/>
        <v>3.1225856067322013E+28</v>
      </c>
    </row>
    <row r="7" spans="1:16" x14ac:dyDescent="0.35">
      <c r="A7" s="14">
        <v>1</v>
      </c>
      <c r="B7" s="15">
        <v>3.58</v>
      </c>
      <c r="C7" s="16">
        <v>11.13</v>
      </c>
      <c r="D7" s="16">
        <v>0.24</v>
      </c>
      <c r="E7" s="16">
        <v>5</v>
      </c>
      <c r="F7" s="16">
        <v>6.91</v>
      </c>
      <c r="H7" s="17" t="s">
        <v>32</v>
      </c>
      <c r="I7" s="14">
        <f t="array" ref="I7:M11">MMULT(TRANSPOSE(I1:M5),I1:M5)</f>
        <v>272412.57610000001</v>
      </c>
      <c r="J7" s="14">
        <v>629239.78934899997</v>
      </c>
      <c r="K7" s="14">
        <v>8414783.186637003</v>
      </c>
      <c r="L7" s="14">
        <v>147395.77278100001</v>
      </c>
      <c r="M7" s="14">
        <v>4031539.9692000002</v>
      </c>
      <c r="O7" s="14">
        <f t="shared" si="0"/>
        <v>36877889630920.563</v>
      </c>
      <c r="P7" s="14">
        <f t="shared" si="1"/>
        <v>1.3599787436298488E+27</v>
      </c>
    </row>
    <row r="8" spans="1:16" x14ac:dyDescent="0.35">
      <c r="A8" s="14">
        <v>1</v>
      </c>
      <c r="B8" s="15">
        <v>1.95</v>
      </c>
      <c r="C8" s="16">
        <v>44.38</v>
      </c>
      <c r="D8" s="16">
        <v>0.9</v>
      </c>
      <c r="E8" s="16">
        <v>7</v>
      </c>
      <c r="F8" s="16">
        <v>9.23</v>
      </c>
      <c r="I8" s="14">
        <v>629239.78934899997</v>
      </c>
      <c r="J8" s="14">
        <v>1466089.8431146599</v>
      </c>
      <c r="K8" s="14">
        <v>19331066.486679316</v>
      </c>
      <c r="L8" s="14">
        <v>340594.72946125997</v>
      </c>
      <c r="M8" s="14">
        <v>9320007.4886909984</v>
      </c>
      <c r="O8" s="14">
        <f t="shared" si="0"/>
        <v>174223893767967.75</v>
      </c>
      <c r="P8" s="14">
        <f t="shared" si="1"/>
        <v>3.03539651596689E+28</v>
      </c>
    </row>
    <row r="9" spans="1:16" x14ac:dyDescent="0.35">
      <c r="A9" s="14">
        <v>1</v>
      </c>
      <c r="B9" s="15">
        <v>3.81</v>
      </c>
      <c r="C9" s="16">
        <v>5.5</v>
      </c>
      <c r="D9" s="16">
        <v>0.61</v>
      </c>
      <c r="E9" s="16">
        <v>9</v>
      </c>
      <c r="F9" s="16">
        <v>11.4</v>
      </c>
      <c r="I9" s="14">
        <v>8414783.186637003</v>
      </c>
      <c r="J9" s="14">
        <v>19331066.486679316</v>
      </c>
      <c r="K9" s="14">
        <v>275701268.12713987</v>
      </c>
      <c r="L9" s="14">
        <v>4461237.0362348808</v>
      </c>
      <c r="M9" s="14">
        <v>117366656.75416452</v>
      </c>
      <c r="O9" s="14">
        <f t="shared" si="0"/>
        <v>87368674984692.328</v>
      </c>
      <c r="P9" s="14">
        <f t="shared" si="1"/>
        <v>7.6332853685788096E+27</v>
      </c>
    </row>
    <row r="10" spans="1:16" x14ac:dyDescent="0.35">
      <c r="A10" s="14">
        <v>1</v>
      </c>
      <c r="B10" s="15">
        <v>5.71</v>
      </c>
      <c r="C10" s="16">
        <v>42.28</v>
      </c>
      <c r="D10" s="16">
        <v>0.83</v>
      </c>
      <c r="E10" s="16">
        <v>9.5</v>
      </c>
      <c r="F10" s="16">
        <v>12.04</v>
      </c>
      <c r="I10" s="14">
        <v>147395.77278100001</v>
      </c>
      <c r="J10" s="14">
        <v>340594.72946125997</v>
      </c>
      <c r="K10" s="14">
        <v>4461237.0362348808</v>
      </c>
      <c r="L10" s="14">
        <v>80308.00410922998</v>
      </c>
      <c r="M10" s="14">
        <v>2224771.7229734999</v>
      </c>
      <c r="O10" s="14">
        <f t="shared" si="0"/>
        <v>55668374603398.734</v>
      </c>
      <c r="P10" s="14">
        <f t="shared" si="1"/>
        <v>3.098967930982989E+27</v>
      </c>
    </row>
    <row r="11" spans="1:16" x14ac:dyDescent="0.35">
      <c r="A11" s="14">
        <v>1</v>
      </c>
      <c r="B11" s="15">
        <v>5.64</v>
      </c>
      <c r="C11" s="16">
        <v>18.11</v>
      </c>
      <c r="D11" s="16">
        <v>0.09</v>
      </c>
      <c r="E11" s="16">
        <v>11</v>
      </c>
      <c r="F11" s="16">
        <v>16.75</v>
      </c>
      <c r="I11" s="14">
        <v>4031539.9692000002</v>
      </c>
      <c r="J11" s="14">
        <v>9320007.4886909984</v>
      </c>
      <c r="K11" s="14">
        <v>117366656.75416452</v>
      </c>
      <c r="L11" s="14">
        <v>2224771.7229734999</v>
      </c>
      <c r="M11" s="14">
        <v>63068864.611024998</v>
      </c>
      <c r="O11" s="14">
        <f t="shared" si="0"/>
        <v>75680948221590.391</v>
      </c>
      <c r="P11" s="14">
        <f t="shared" si="1"/>
        <v>5.7276059237165106E+27</v>
      </c>
    </row>
    <row r="12" spans="1:16" x14ac:dyDescent="0.35">
      <c r="A12" s="14">
        <v>1</v>
      </c>
      <c r="B12" s="15">
        <v>0.2</v>
      </c>
      <c r="C12" s="16">
        <v>7.62</v>
      </c>
      <c r="D12" s="16">
        <v>0.33</v>
      </c>
      <c r="E12" s="16">
        <v>16</v>
      </c>
      <c r="F12" s="16">
        <v>24.55</v>
      </c>
      <c r="O12" s="14">
        <f t="shared" si="0"/>
        <v>84115519710417.219</v>
      </c>
      <c r="P12" s="14">
        <f t="shared" si="1"/>
        <v>7.0754206561494585E+27</v>
      </c>
    </row>
    <row r="13" spans="1:16" x14ac:dyDescent="0.35">
      <c r="A13" s="14">
        <v>1</v>
      </c>
      <c r="B13" s="15">
        <v>5.41</v>
      </c>
      <c r="C13" s="16">
        <v>11.73</v>
      </c>
      <c r="D13" s="16">
        <v>0.28999999999999998</v>
      </c>
      <c r="E13" s="16">
        <v>18</v>
      </c>
      <c r="F13" s="16">
        <v>27.64</v>
      </c>
      <c r="H13" s="17" t="s">
        <v>31</v>
      </c>
      <c r="I13" s="14">
        <f t="array" ref="I13:I17">MMULT(TRANSPOSE(A2:E21),F2:F21)</f>
        <v>467.71999999999997</v>
      </c>
      <c r="K13" s="17" t="s">
        <v>29</v>
      </c>
      <c r="L13" s="14">
        <f t="array" ref="L13:L17">MMULT(I7:M11,I13:I17)</f>
        <v>117390789688.71461</v>
      </c>
      <c r="O13" s="14">
        <f t="shared" si="0"/>
        <v>117929221632004.14</v>
      </c>
      <c r="P13" s="14">
        <f t="shared" si="1"/>
        <v>1.3907301314723834E+28</v>
      </c>
    </row>
    <row r="14" spans="1:16" x14ac:dyDescent="0.35">
      <c r="A14" s="14">
        <v>1</v>
      </c>
      <c r="B14" s="15">
        <v>7.56</v>
      </c>
      <c r="C14" s="16">
        <v>13.85</v>
      </c>
      <c r="D14" s="16">
        <v>0.55000000000000004</v>
      </c>
      <c r="E14" s="16">
        <v>18</v>
      </c>
      <c r="F14" s="16">
        <v>29.64</v>
      </c>
      <c r="I14" s="14">
        <v>1023.8301</v>
      </c>
      <c r="L14" s="14">
        <v>270288929203.47961</v>
      </c>
      <c r="O14" s="14">
        <f t="shared" si="0"/>
        <v>60430024205483.813</v>
      </c>
      <c r="P14" s="14">
        <f t="shared" si="1"/>
        <v>3.6517878254717771E+27</v>
      </c>
    </row>
    <row r="15" spans="1:16" x14ac:dyDescent="0.35">
      <c r="A15" s="14">
        <v>1</v>
      </c>
      <c r="B15" s="15">
        <v>1.0900000000000001</v>
      </c>
      <c r="C15" s="16">
        <v>22.54</v>
      </c>
      <c r="D15" s="16">
        <v>0.94</v>
      </c>
      <c r="E15" s="16">
        <v>20</v>
      </c>
      <c r="F15" s="16">
        <v>32.9</v>
      </c>
      <c r="I15" s="14">
        <v>9043.8549000000003</v>
      </c>
      <c r="L15" s="14">
        <v>3696716167410.3799</v>
      </c>
      <c r="O15" s="14">
        <f t="shared" si="0"/>
        <v>45883965754980.047</v>
      </c>
      <c r="P15" s="14">
        <f t="shared" si="1"/>
        <v>2.1053383134011628E+27</v>
      </c>
    </row>
    <row r="16" spans="1:16" x14ac:dyDescent="0.35">
      <c r="A16" s="14">
        <v>1</v>
      </c>
      <c r="B16" s="15">
        <v>0.76</v>
      </c>
      <c r="C16" s="16">
        <v>7.01</v>
      </c>
      <c r="D16" s="16">
        <v>0.94</v>
      </c>
      <c r="E16" s="16">
        <v>20</v>
      </c>
      <c r="F16" s="16">
        <v>33.520000000000003</v>
      </c>
      <c r="I16" s="14">
        <v>287.65010000000001</v>
      </c>
      <c r="L16" s="14">
        <v>63123138959.047104</v>
      </c>
      <c r="O16" s="14">
        <f t="shared" si="0"/>
        <v>97404062976399.313</v>
      </c>
      <c r="P16" s="14">
        <f t="shared" si="1"/>
        <v>9.4875514843038338E+27</v>
      </c>
    </row>
    <row r="17" spans="1:16" x14ac:dyDescent="0.35">
      <c r="A17" s="14">
        <v>1</v>
      </c>
      <c r="B17" s="15">
        <v>0.42</v>
      </c>
      <c r="C17" s="16">
        <v>3.1</v>
      </c>
      <c r="D17" s="16">
        <v>0.94</v>
      </c>
      <c r="E17" s="16">
        <v>20</v>
      </c>
      <c r="F17" s="16">
        <v>33.75</v>
      </c>
      <c r="I17" s="14">
        <v>10039.504999999999</v>
      </c>
      <c r="L17" s="14">
        <v>1706694887271.6094</v>
      </c>
      <c r="O17" s="14">
        <f t="shared" si="0"/>
        <v>231260318202225.34</v>
      </c>
      <c r="P17" s="14">
        <f t="shared" si="1"/>
        <v>5.3481334774978906E+28</v>
      </c>
    </row>
    <row r="18" spans="1:16" x14ac:dyDescent="0.35">
      <c r="A18" s="14">
        <v>1</v>
      </c>
      <c r="B18" s="15">
        <v>4.25</v>
      </c>
      <c r="C18" s="16">
        <v>14.45</v>
      </c>
      <c r="D18" s="16">
        <v>0.84</v>
      </c>
      <c r="E18" s="16">
        <v>25</v>
      </c>
      <c r="F18" s="16">
        <v>42.89</v>
      </c>
      <c r="O18" s="14">
        <f t="shared" si="0"/>
        <v>143223679813055.13</v>
      </c>
      <c r="P18" s="14">
        <f t="shared" si="1"/>
        <v>2.0513022459180254E+28</v>
      </c>
    </row>
    <row r="19" spans="1:16" x14ac:dyDescent="0.35">
      <c r="A19" s="14">
        <v>1</v>
      </c>
      <c r="B19" s="15">
        <v>0.76</v>
      </c>
      <c r="C19" s="16">
        <v>50.46</v>
      </c>
      <c r="D19" s="16">
        <v>0.43</v>
      </c>
      <c r="E19" s="16">
        <v>26</v>
      </c>
      <c r="F19" s="16">
        <v>48.87</v>
      </c>
      <c r="O19" s="14">
        <f t="shared" si="0"/>
        <v>95466512558120.047</v>
      </c>
      <c r="P19" s="14">
        <f t="shared" si="1"/>
        <v>9.1138550200003607E+27</v>
      </c>
    </row>
    <row r="20" spans="1:16" x14ac:dyDescent="0.35">
      <c r="A20" s="14">
        <v>1</v>
      </c>
      <c r="B20" s="15">
        <v>0.76</v>
      </c>
      <c r="C20" s="16">
        <v>24.8</v>
      </c>
      <c r="D20" s="16">
        <v>0.34</v>
      </c>
      <c r="E20" s="16">
        <v>30</v>
      </c>
      <c r="F20" s="16">
        <v>58.45</v>
      </c>
      <c r="O20" s="14">
        <f t="shared" si="0"/>
        <v>117390789688.71461</v>
      </c>
      <c r="P20" s="14">
        <f t="shared" si="1"/>
        <v>1.3780597490017043E+22</v>
      </c>
    </row>
    <row r="21" spans="1:16" x14ac:dyDescent="0.35">
      <c r="A21" s="14">
        <v>1</v>
      </c>
      <c r="B21" s="15">
        <v>0.5</v>
      </c>
      <c r="C21" s="16">
        <v>11.2</v>
      </c>
      <c r="D21" s="16">
        <v>0.79</v>
      </c>
      <c r="E21" s="16">
        <v>31.5</v>
      </c>
      <c r="F21" s="16">
        <v>61.69</v>
      </c>
      <c r="O21" s="14">
        <f t="shared" si="0"/>
        <v>117390789688.71461</v>
      </c>
      <c r="P21" s="14">
        <f t="shared" si="1"/>
        <v>1.3780597489256349E+22</v>
      </c>
    </row>
    <row r="22" spans="1:16" x14ac:dyDescent="0.35">
      <c r="O22" s="14" t="s">
        <v>34</v>
      </c>
      <c r="P22" s="14">
        <f>AVERAGE(P2:P21)</f>
        <v>1.2192767148185509E+28</v>
      </c>
    </row>
    <row r="23" spans="1:16" x14ac:dyDescent="0.35">
      <c r="O23" s="14" t="s">
        <v>35</v>
      </c>
      <c r="P23" s="14">
        <f>SQRT(P22)</f>
        <v>110420863735915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EACA-73A5-48D4-9D4B-4D1BCF7B574D}">
  <dimension ref="A1:E11"/>
  <sheetViews>
    <sheetView topLeftCell="B1" workbookViewId="0">
      <selection activeCell="E14" sqref="E14"/>
    </sheetView>
  </sheetViews>
  <sheetFormatPr defaultRowHeight="14.5" x14ac:dyDescent="0.35"/>
  <cols>
    <col min="1" max="1" width="30.6328125" customWidth="1"/>
    <col min="2" max="2" width="23.08984375" customWidth="1"/>
    <col min="3" max="3" width="13.54296875" customWidth="1"/>
    <col min="4" max="4" width="32.81640625" customWidth="1"/>
    <col min="5" max="5" width="17.54296875" customWidth="1"/>
  </cols>
  <sheetData>
    <row r="1" spans="1:5" ht="19" x14ac:dyDescent="0.35">
      <c r="A1" s="1" t="s">
        <v>0</v>
      </c>
      <c r="B1" s="1" t="s">
        <v>1</v>
      </c>
      <c r="C1" s="7" t="s">
        <v>9</v>
      </c>
      <c r="D1" s="4" t="s">
        <v>2</v>
      </c>
      <c r="E1" s="3">
        <f xml:space="preserve"> STDEVA(A2:A11)</f>
        <v>3.0276503540974917</v>
      </c>
    </row>
    <row r="2" spans="1:5" ht="15.5" x14ac:dyDescent="0.35">
      <c r="A2" s="2">
        <v>1</v>
      </c>
      <c r="B2" s="2">
        <v>2</v>
      </c>
      <c r="C2" s="6">
        <f>$E$7+$E$6*A2</f>
        <v>0.81818181818181879</v>
      </c>
      <c r="D2" s="4" t="s">
        <v>3</v>
      </c>
      <c r="E2" s="3">
        <f xml:space="preserve"> STDEVA(B2:B11)</f>
        <v>6.3909658459769938</v>
      </c>
    </row>
    <row r="3" spans="1:5" ht="15.5" x14ac:dyDescent="0.35">
      <c r="A3" s="2">
        <v>2</v>
      </c>
      <c r="B3" s="2">
        <v>4</v>
      </c>
      <c r="C3" s="6">
        <f t="shared" ref="C3:C11" si="0">$E$7+$E$6*A3</f>
        <v>2.9030303030303033</v>
      </c>
      <c r="D3" s="4" t="s">
        <v>4</v>
      </c>
      <c r="E3" s="3">
        <f>AVERAGE(A2:A11)</f>
        <v>5.5</v>
      </c>
    </row>
    <row r="4" spans="1:5" ht="15.5" x14ac:dyDescent="0.35">
      <c r="A4" s="2">
        <v>3</v>
      </c>
      <c r="B4" s="2">
        <v>3</v>
      </c>
      <c r="C4" s="6">
        <f>$E$7+$E$6*A4</f>
        <v>4.9878787878787882</v>
      </c>
      <c r="D4" s="4" t="s">
        <v>5</v>
      </c>
      <c r="E4" s="3">
        <f>AVERAGE(B2:B11)</f>
        <v>10.199999999999999</v>
      </c>
    </row>
    <row r="5" spans="1:5" ht="15.5" x14ac:dyDescent="0.35">
      <c r="A5" s="2">
        <v>4</v>
      </c>
      <c r="B5" s="2">
        <v>6</v>
      </c>
      <c r="C5" s="6">
        <f t="shared" si="0"/>
        <v>7.0727272727272723</v>
      </c>
      <c r="D5" s="4" t="s">
        <v>6</v>
      </c>
      <c r="E5" s="3">
        <f>CORREL(A2:A11,B2:B11)</f>
        <v>0.98767422726324727</v>
      </c>
    </row>
    <row r="6" spans="1:5" ht="15.5" x14ac:dyDescent="0.35">
      <c r="A6" s="2">
        <v>5</v>
      </c>
      <c r="B6" s="2">
        <v>9</v>
      </c>
      <c r="C6" s="6">
        <f t="shared" si="0"/>
        <v>9.1575757575757564</v>
      </c>
      <c r="D6" s="4" t="s">
        <v>7</v>
      </c>
      <c r="E6" s="3">
        <f>E5*(E2/E1)</f>
        <v>2.0848484848484845</v>
      </c>
    </row>
    <row r="7" spans="1:5" ht="15.5" x14ac:dyDescent="0.35">
      <c r="A7" s="2">
        <v>6</v>
      </c>
      <c r="B7" s="2">
        <v>12</v>
      </c>
      <c r="C7" s="6">
        <f t="shared" si="0"/>
        <v>11.242424242424242</v>
      </c>
      <c r="D7" s="4" t="s">
        <v>8</v>
      </c>
      <c r="E7" s="3">
        <f>E4-E6*E3</f>
        <v>-1.2666666666666657</v>
      </c>
    </row>
    <row r="8" spans="1:5" ht="15.5" x14ac:dyDescent="0.35">
      <c r="A8" s="2">
        <v>7</v>
      </c>
      <c r="B8" s="2">
        <v>13</v>
      </c>
      <c r="C8" s="6">
        <f t="shared" si="0"/>
        <v>13.327272727272726</v>
      </c>
    </row>
    <row r="9" spans="1:5" ht="15.5" x14ac:dyDescent="0.35">
      <c r="A9" s="2">
        <v>8</v>
      </c>
      <c r="B9" s="2">
        <v>15</v>
      </c>
      <c r="C9" s="6">
        <f t="shared" si="0"/>
        <v>15.41212121212121</v>
      </c>
    </row>
    <row r="10" spans="1:5" ht="15.5" x14ac:dyDescent="0.35">
      <c r="A10" s="2">
        <v>9</v>
      </c>
      <c r="B10" s="2">
        <v>18</v>
      </c>
      <c r="C10" s="6">
        <f t="shared" si="0"/>
        <v>17.496969696969696</v>
      </c>
    </row>
    <row r="11" spans="1:5" ht="15.5" x14ac:dyDescent="0.35">
      <c r="A11" s="2">
        <v>10</v>
      </c>
      <c r="B11" s="2">
        <v>20</v>
      </c>
      <c r="C11" s="6">
        <f t="shared" si="0"/>
        <v>19.581818181818178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D72DC-0FB1-4D87-88E1-62A2B594DCC5}">
  <dimension ref="A1:E14"/>
  <sheetViews>
    <sheetView workbookViewId="0">
      <selection activeCell="D11" sqref="D11"/>
    </sheetView>
  </sheetViews>
  <sheetFormatPr defaultRowHeight="14.5" x14ac:dyDescent="0.35"/>
  <cols>
    <col min="3" max="3" width="15.1796875" customWidth="1"/>
    <col min="4" max="4" width="36.453125" customWidth="1"/>
    <col min="5" max="5" width="16.90625" customWidth="1"/>
  </cols>
  <sheetData>
    <row r="1" spans="1:5" x14ac:dyDescent="0.35">
      <c r="A1" s="8" t="s">
        <v>10</v>
      </c>
      <c r="B1" s="8" t="s">
        <v>11</v>
      </c>
      <c r="C1" s="8" t="s">
        <v>12</v>
      </c>
      <c r="D1" s="4" t="s">
        <v>2</v>
      </c>
      <c r="E1" s="3">
        <f xml:space="preserve"> STDEVA(A2:A14)</f>
        <v>5.840014488917749</v>
      </c>
    </row>
    <row r="2" spans="1:5" x14ac:dyDescent="0.35">
      <c r="A2" s="5">
        <v>73.5</v>
      </c>
      <c r="B2" s="5">
        <v>1.49</v>
      </c>
      <c r="C2" s="6">
        <f>$E$7+$E$6*A2</f>
        <v>1.4846771919932338</v>
      </c>
      <c r="D2" s="4" t="s">
        <v>3</v>
      </c>
      <c r="E2" s="3">
        <f xml:space="preserve"> STDEVA(B2:B14)</f>
        <v>6.5496134158769898E-2</v>
      </c>
    </row>
    <row r="3" spans="1:5" x14ac:dyDescent="0.35">
      <c r="A3" s="5">
        <v>75</v>
      </c>
      <c r="B3" s="5">
        <v>1.5</v>
      </c>
      <c r="C3" s="6">
        <f t="shared" ref="C3:C13" si="0">$E$7+$E$6*A3</f>
        <v>1.5014533408514237</v>
      </c>
      <c r="D3" s="4" t="s">
        <v>4</v>
      </c>
      <c r="E3" s="3">
        <f>AVERAGE(A2:A14)</f>
        <v>83.192307692307693</v>
      </c>
    </row>
    <row r="4" spans="1:5" x14ac:dyDescent="0.35">
      <c r="A4" s="5">
        <v>76.5</v>
      </c>
      <c r="B4" s="5">
        <v>1.51</v>
      </c>
      <c r="C4" s="6">
        <f>$E$7+$E$6*A4</f>
        <v>1.5182294897096138</v>
      </c>
      <c r="D4" s="4" t="s">
        <v>5</v>
      </c>
      <c r="E4" s="3">
        <f>AVERAGE(B2:B14)</f>
        <v>1.5930769230769231</v>
      </c>
    </row>
    <row r="5" spans="1:5" x14ac:dyDescent="0.35">
      <c r="A5" s="5">
        <v>79</v>
      </c>
      <c r="B5" s="5">
        <v>1.54</v>
      </c>
      <c r="C5" s="6">
        <f t="shared" si="0"/>
        <v>1.5461897378065972</v>
      </c>
      <c r="D5" s="4" t="s">
        <v>6</v>
      </c>
      <c r="E5" s="3">
        <f>CORREL(A2:A14,B2:B14)</f>
        <v>0.99723903462325769</v>
      </c>
    </row>
    <row r="6" spans="1:5" x14ac:dyDescent="0.35">
      <c r="A6" s="5">
        <v>81.5</v>
      </c>
      <c r="B6" s="5">
        <v>1.58</v>
      </c>
      <c r="C6" s="6">
        <f t="shared" si="0"/>
        <v>1.5741499859035804</v>
      </c>
      <c r="D6" s="4" t="s">
        <v>7</v>
      </c>
      <c r="E6" s="3">
        <f>E5*(E2/E1)</f>
        <v>1.1184099238793339E-2</v>
      </c>
    </row>
    <row r="7" spans="1:5" x14ac:dyDescent="0.35">
      <c r="A7" s="5">
        <v>82.5</v>
      </c>
      <c r="B7" s="5">
        <v>1.59</v>
      </c>
      <c r="C7" s="6">
        <f t="shared" si="0"/>
        <v>1.5853340851423738</v>
      </c>
      <c r="D7" s="4" t="s">
        <v>8</v>
      </c>
      <c r="E7" s="3">
        <f>E4-E6*E3</f>
        <v>0.66264589794192341</v>
      </c>
    </row>
    <row r="8" spans="1:5" x14ac:dyDescent="0.35">
      <c r="A8" s="5">
        <v>84</v>
      </c>
      <c r="B8" s="5">
        <v>1.6</v>
      </c>
      <c r="C8" s="6">
        <f t="shared" si="0"/>
        <v>1.602110234000564</v>
      </c>
    </row>
    <row r="9" spans="1:5" x14ac:dyDescent="0.35">
      <c r="A9" s="5">
        <v>85</v>
      </c>
      <c r="B9" s="5">
        <v>1.62</v>
      </c>
      <c r="C9" s="6">
        <f t="shared" si="0"/>
        <v>1.6132943332393572</v>
      </c>
    </row>
    <row r="10" spans="1:5" x14ac:dyDescent="0.35">
      <c r="A10" s="5">
        <v>86.5</v>
      </c>
      <c r="B10" s="5">
        <v>1.63</v>
      </c>
      <c r="C10" s="6">
        <f t="shared" si="0"/>
        <v>1.6300704820975471</v>
      </c>
    </row>
    <row r="11" spans="1:5" x14ac:dyDescent="0.35">
      <c r="A11" s="5">
        <v>87.5</v>
      </c>
      <c r="B11" s="5">
        <v>1.64</v>
      </c>
      <c r="C11" s="6">
        <f t="shared" si="0"/>
        <v>1.6412545813363404</v>
      </c>
    </row>
    <row r="12" spans="1:5" x14ac:dyDescent="0.35">
      <c r="A12" s="5">
        <v>89</v>
      </c>
      <c r="B12" s="5">
        <v>1.66</v>
      </c>
      <c r="C12" s="6">
        <f>$E$7+$E$6*A12</f>
        <v>1.6580307301945305</v>
      </c>
    </row>
    <row r="13" spans="1:5" x14ac:dyDescent="0.35">
      <c r="A13" s="5">
        <v>90</v>
      </c>
      <c r="B13" s="5">
        <v>1.67</v>
      </c>
      <c r="C13" s="6">
        <f t="shared" si="0"/>
        <v>1.669214829433324</v>
      </c>
    </row>
    <row r="14" spans="1:5" x14ac:dyDescent="0.35">
      <c r="A14" s="5">
        <v>91.5</v>
      </c>
      <c r="B14" s="5">
        <v>1.68</v>
      </c>
      <c r="C14" s="6">
        <f>$E$7+$E$6*A14</f>
        <v>1.6859909782915139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DA00-FBA3-4810-AFE5-D19504682E1E}">
  <dimension ref="A1:Q14"/>
  <sheetViews>
    <sheetView topLeftCell="B1" workbookViewId="0">
      <selection activeCell="Q2" sqref="Q2"/>
    </sheetView>
  </sheetViews>
  <sheetFormatPr defaultRowHeight="15.5" x14ac:dyDescent="0.35"/>
  <cols>
    <col min="1" max="9" width="8.7265625" style="9"/>
    <col min="10" max="10" width="12.81640625" style="9" customWidth="1"/>
    <col min="11" max="15" width="8.7265625" style="9"/>
    <col min="16" max="16" width="15.90625" style="9" customWidth="1"/>
    <col min="17" max="17" width="12.453125" style="9" bestFit="1" customWidth="1"/>
    <col min="18" max="16384" width="8.7265625" style="9"/>
  </cols>
  <sheetData>
    <row r="1" spans="1:17" x14ac:dyDescent="0.35">
      <c r="A1" s="11" t="s">
        <v>14</v>
      </c>
      <c r="B1" s="11" t="s">
        <v>15</v>
      </c>
      <c r="C1" s="11" t="s">
        <v>16</v>
      </c>
      <c r="E1" s="11" t="s">
        <v>13</v>
      </c>
      <c r="F1" s="11" t="s">
        <v>14</v>
      </c>
      <c r="G1" s="11" t="s">
        <v>15</v>
      </c>
      <c r="H1" s="11" t="s">
        <v>16</v>
      </c>
      <c r="J1" s="11" t="s">
        <v>17</v>
      </c>
      <c r="K1" s="2">
        <f t="array" ref="K1:M3">MMULT(TRANSPOSE(E2:H12),E2:H12)</f>
        <v>11</v>
      </c>
      <c r="L1" s="2">
        <v>66</v>
      </c>
      <c r="M1" s="2">
        <v>47</v>
      </c>
      <c r="P1" s="2" t="s">
        <v>21</v>
      </c>
      <c r="Q1" s="2" t="s">
        <v>22</v>
      </c>
    </row>
    <row r="2" spans="1:17" x14ac:dyDescent="0.35">
      <c r="A2" s="10">
        <v>7</v>
      </c>
      <c r="B2" s="10">
        <v>5</v>
      </c>
      <c r="C2" s="10">
        <v>65</v>
      </c>
      <c r="E2" s="10">
        <v>1</v>
      </c>
      <c r="F2" s="10">
        <v>7</v>
      </c>
      <c r="G2" s="10">
        <v>5</v>
      </c>
      <c r="H2" s="10">
        <v>65</v>
      </c>
      <c r="J2" s="2"/>
      <c r="K2" s="2">
        <v>66</v>
      </c>
      <c r="L2" s="2">
        <v>454</v>
      </c>
      <c r="M2" s="2">
        <v>261</v>
      </c>
      <c r="P2" s="2">
        <f>$N$9+$N$10*F2+$N$11*G2</f>
        <v>54.810499624828537</v>
      </c>
      <c r="Q2" s="2">
        <f>POWER(H2-P2,2)</f>
        <v>103.82591789561937</v>
      </c>
    </row>
    <row r="3" spans="1:17" x14ac:dyDescent="0.35">
      <c r="A3" s="10">
        <v>3</v>
      </c>
      <c r="B3" s="10">
        <v>7</v>
      </c>
      <c r="C3" s="10">
        <v>38</v>
      </c>
      <c r="E3" s="10">
        <v>1</v>
      </c>
      <c r="F3" s="10">
        <v>3</v>
      </c>
      <c r="G3" s="10">
        <v>7</v>
      </c>
      <c r="H3" s="10">
        <v>38</v>
      </c>
      <c r="J3" s="2"/>
      <c r="K3" s="2">
        <v>47</v>
      </c>
      <c r="L3" s="2">
        <v>261</v>
      </c>
      <c r="M3" s="2">
        <v>269</v>
      </c>
      <c r="P3" s="2">
        <f t="shared" ref="P3:P11" si="0">$N$9+$N$10*F3+$N$11*G3</f>
        <v>42.746177132655433</v>
      </c>
      <c r="Q3" s="2">
        <f t="shared" ref="Q3:Q12" si="1">POWER(H3-P3,2)</f>
        <v>22.526197374541344</v>
      </c>
    </row>
    <row r="4" spans="1:17" x14ac:dyDescent="0.35">
      <c r="A4" s="10">
        <v>5</v>
      </c>
      <c r="B4" s="10">
        <v>8</v>
      </c>
      <c r="C4" s="10">
        <v>51</v>
      </c>
      <c r="E4" s="10">
        <v>1</v>
      </c>
      <c r="F4" s="10">
        <v>5</v>
      </c>
      <c r="G4" s="10">
        <v>8</v>
      </c>
      <c r="H4" s="10">
        <v>51</v>
      </c>
      <c r="P4" s="2">
        <f t="shared" si="0"/>
        <v>56.295169344614322</v>
      </c>
      <c r="Q4" s="2">
        <f t="shared" si="1"/>
        <v>28.038818388143273</v>
      </c>
    </row>
    <row r="5" spans="1:17" x14ac:dyDescent="0.35">
      <c r="A5" s="10">
        <v>8</v>
      </c>
      <c r="B5" s="10">
        <v>1</v>
      </c>
      <c r="C5" s="10">
        <v>38</v>
      </c>
      <c r="E5" s="10">
        <v>1</v>
      </c>
      <c r="F5" s="10">
        <v>8</v>
      </c>
      <c r="G5" s="10">
        <v>1</v>
      </c>
      <c r="H5" s="10">
        <v>38</v>
      </c>
      <c r="J5" s="12" t="s">
        <v>18</v>
      </c>
      <c r="K5" s="2">
        <f t="array" ref="K5:M7">MINVERSE(K1:M3)</f>
        <v>1.3973194649279432</v>
      </c>
      <c r="L5" s="2">
        <v>-0.14197003803461952</v>
      </c>
      <c r="M5" s="2">
        <v>-0.10639343838132949</v>
      </c>
      <c r="P5" s="2">
        <f t="shared" si="0"/>
        <v>44.672126057595207</v>
      </c>
      <c r="Q5" s="2">
        <f t="shared" si="1"/>
        <v>44.517266128440966</v>
      </c>
    </row>
    <row r="6" spans="1:17" x14ac:dyDescent="0.35">
      <c r="A6" s="10">
        <v>9</v>
      </c>
      <c r="B6" s="10">
        <v>3</v>
      </c>
      <c r="C6" s="10">
        <v>55</v>
      </c>
      <c r="E6" s="10">
        <v>1</v>
      </c>
      <c r="F6" s="10">
        <v>9</v>
      </c>
      <c r="G6" s="10">
        <v>3</v>
      </c>
      <c r="H6" s="10">
        <v>55</v>
      </c>
      <c r="J6" s="2"/>
      <c r="K6" s="2">
        <v>-0.14197003803461947</v>
      </c>
      <c r="L6" s="2">
        <v>1.9405417992703587E-2</v>
      </c>
      <c r="M6" s="2">
        <v>5.9768687417527068E-3</v>
      </c>
      <c r="P6" s="2">
        <f t="shared" si="0"/>
        <v>57.08424538797891</v>
      </c>
      <c r="Q6" s="2">
        <f t="shared" si="1"/>
        <v>4.3440788373113586</v>
      </c>
    </row>
    <row r="7" spans="1:17" x14ac:dyDescent="0.35">
      <c r="A7" s="10">
        <v>5</v>
      </c>
      <c r="B7" s="10">
        <v>4</v>
      </c>
      <c r="C7" s="10">
        <v>43</v>
      </c>
      <c r="E7" s="10">
        <v>1</v>
      </c>
      <c r="F7" s="10">
        <v>5</v>
      </c>
      <c r="G7" s="10">
        <v>4</v>
      </c>
      <c r="H7" s="10">
        <v>43</v>
      </c>
      <c r="J7" s="2"/>
      <c r="K7" s="2">
        <v>-0.10639343838132957</v>
      </c>
      <c r="L7" s="2">
        <v>5.976868741752718E-3</v>
      </c>
      <c r="M7" s="2">
        <v>1.6507542239126507E-2</v>
      </c>
      <c r="P7" s="2">
        <f t="shared" si="0"/>
        <v>41.261507412869634</v>
      </c>
      <c r="Q7" s="2">
        <f t="shared" si="1"/>
        <v>3.0223564755072347</v>
      </c>
    </row>
    <row r="8" spans="1:17" x14ac:dyDescent="0.35">
      <c r="A8" s="10">
        <v>4</v>
      </c>
      <c r="B8" s="10">
        <v>0</v>
      </c>
      <c r="C8" s="10">
        <v>25</v>
      </c>
      <c r="E8" s="10">
        <v>1</v>
      </c>
      <c r="F8" s="10">
        <v>4</v>
      </c>
      <c r="G8" s="10">
        <v>0</v>
      </c>
      <c r="H8" s="10">
        <v>25</v>
      </c>
      <c r="P8" s="2">
        <f t="shared" si="0"/>
        <v>21.332557116613586</v>
      </c>
      <c r="Q8" s="2">
        <f t="shared" si="1"/>
        <v>13.450137302901656</v>
      </c>
    </row>
    <row r="9" spans="1:17" x14ac:dyDescent="0.35">
      <c r="A9" s="10">
        <v>2</v>
      </c>
      <c r="B9" s="10">
        <v>6</v>
      </c>
      <c r="C9" s="10">
        <v>33</v>
      </c>
      <c r="E9" s="10">
        <v>1</v>
      </c>
      <c r="F9" s="10">
        <v>2</v>
      </c>
      <c r="G9" s="10">
        <v>6</v>
      </c>
      <c r="H9" s="10">
        <v>33</v>
      </c>
      <c r="J9" s="12" t="s">
        <v>19</v>
      </c>
      <c r="K9" s="2">
        <f t="array" ref="K9:K11">MMULT(TRANSPOSE(E2:G12),H2:H12)</f>
        <v>519</v>
      </c>
      <c r="M9" s="2" t="s">
        <v>20</v>
      </c>
      <c r="N9" s="2">
        <f t="array" ref="N9:N11">MMULT(K5:M7,K9:K11)</f>
        <v>1.7514036585681367</v>
      </c>
      <c r="P9" s="2">
        <f t="shared" si="0"/>
        <v>34.092473285207895</v>
      </c>
      <c r="Q9" s="2">
        <f t="shared" si="1"/>
        <v>1.19349787889293</v>
      </c>
    </row>
    <row r="10" spans="1:17" x14ac:dyDescent="0.35">
      <c r="A10" s="10">
        <v>8</v>
      </c>
      <c r="B10" s="10">
        <v>7</v>
      </c>
      <c r="C10" s="10">
        <v>71</v>
      </c>
      <c r="E10" s="10">
        <v>1</v>
      </c>
      <c r="F10" s="10">
        <v>8</v>
      </c>
      <c r="G10" s="10">
        <v>7</v>
      </c>
      <c r="H10" s="10">
        <v>71</v>
      </c>
      <c r="J10" s="2"/>
      <c r="K10" s="2">
        <v>3319</v>
      </c>
      <c r="M10" s="2"/>
      <c r="N10" s="2">
        <v>4.8952883645113623</v>
      </c>
      <c r="P10" s="2">
        <f t="shared" si="0"/>
        <v>67.222618955212241</v>
      </c>
      <c r="Q10" s="2">
        <f t="shared" si="1"/>
        <v>14.268607557521864</v>
      </c>
    </row>
    <row r="11" spans="1:17" x14ac:dyDescent="0.35">
      <c r="A11" s="10">
        <v>6</v>
      </c>
      <c r="B11" s="10">
        <v>4</v>
      </c>
      <c r="C11" s="10">
        <v>51</v>
      </c>
      <c r="E11" s="10">
        <v>1</v>
      </c>
      <c r="F11" s="10">
        <v>6</v>
      </c>
      <c r="G11" s="10">
        <v>4</v>
      </c>
      <c r="H11" s="10">
        <v>51</v>
      </c>
      <c r="J11" s="2"/>
      <c r="K11" s="2">
        <v>2371</v>
      </c>
      <c r="M11" s="2"/>
      <c r="N11" s="2">
        <v>3.7584154829361722</v>
      </c>
      <c r="P11" s="2">
        <f t="shared" si="0"/>
        <v>46.156795777380999</v>
      </c>
      <c r="Q11" s="2">
        <f t="shared" si="1"/>
        <v>23.456627141994517</v>
      </c>
    </row>
    <row r="12" spans="1:17" x14ac:dyDescent="0.35">
      <c r="A12" s="10">
        <v>9</v>
      </c>
      <c r="B12" s="10">
        <v>2</v>
      </c>
      <c r="C12" s="10">
        <v>49</v>
      </c>
      <c r="E12" s="10">
        <v>1</v>
      </c>
      <c r="F12" s="10">
        <v>9</v>
      </c>
      <c r="G12" s="10">
        <v>2</v>
      </c>
      <c r="H12" s="10">
        <v>49</v>
      </c>
      <c r="P12" s="2">
        <f>$N$9+$N$10*F12+$N$11*G12</f>
        <v>53.325829905042738</v>
      </c>
      <c r="Q12" s="2">
        <f t="shared" si="1"/>
        <v>18.712804367362065</v>
      </c>
    </row>
    <row r="13" spans="1:17" x14ac:dyDescent="0.35">
      <c r="P13" s="13" t="s">
        <v>27</v>
      </c>
      <c r="Q13" s="2">
        <f>AVERAGE(Q2:Q12)</f>
        <v>25.214209940748784</v>
      </c>
    </row>
    <row r="14" spans="1:17" x14ac:dyDescent="0.35">
      <c r="P14" s="13" t="s">
        <v>28</v>
      </c>
      <c r="Q14" s="2">
        <f>SQRT(Q13)</f>
        <v>5.0213753037139917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Bonus_1</vt:lpstr>
      <vt:lpstr>VD1</vt:lpstr>
      <vt:lpstr>VD2</vt:lpstr>
      <vt:lpstr>VD3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Chương Hồ Ngọc</dc:creator>
  <cp:lastModifiedBy>Chương Hồ Ngọc</cp:lastModifiedBy>
  <dcterms:created xsi:type="dcterms:W3CDTF">2025-10-22T00:58:33Z</dcterms:created>
  <dcterms:modified xsi:type="dcterms:W3CDTF">2025-10-28T14:19:53Z</dcterms:modified>
</cp:coreProperties>
</file>